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-1960" windowWidth="38400" windowHeight="21600" tabRatio="589" firstSheet="1" activeTab="1" autoFilterDateGrouping="1"/>
  </bookViews>
  <sheets>
    <sheet name="Entradas Agendamiento" sheetId="1" state="hidden" r:id="rId1"/>
    <sheet name="BPMS" sheetId="2" state="visible" r:id="rId2"/>
  </sheets>
  <definedNames>
    <definedName name="Escenario">#REF!</definedName>
    <definedName name="TRM">#REF!</definedName>
    <definedName name="IPC">BPMS!$H$29</definedName>
    <definedName name="Escenario" localSheetId="1">BPMS!#REF!</definedName>
    <definedName name="IPC" localSheetId="1">BPMS!$H$29</definedName>
    <definedName name="TRM" localSheetId="1">BPMS!#REF!</definedName>
  </definedNames>
  <calcPr calcId="191028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_-&quot;$&quot;\ * #,##0_-;\-&quot;$&quot;\ * #,##0_-;_-&quot;$&quot;\ * &quot;-&quot;??_-;_-@_-"/>
    <numFmt numFmtId="166" formatCode="_-&quot;$&quot;\ * #,##0_-;\-&quot;$&quot;\ * #,##0_-;_-&quot;$&quot;\ * &quot;-&quot;_-;_-@_-"/>
    <numFmt numFmtId="167" formatCode="_-* #,##0_-;\-* #,##0_-;_-* &quot;-&quot;??_-;_-@_-"/>
    <numFmt numFmtId="168" formatCode="_-* #,##0.00_-;\-* #,##0.00_-;_-* &quot;-&quot;??_-;_-@_-"/>
    <numFmt numFmtId="169" formatCode="_-&quot;$&quot;\ * #,##0.00_-;\-&quot;$&quot;\ * #,##0.00_-;_-&quot;$&quot;\ * &quot;-&quot;??_-;_-@_-"/>
    <numFmt numFmtId="170" formatCode="0.0%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Verdana"/>
      <family val="2"/>
      <b val="1"/>
      <color theme="1"/>
      <sz val="11"/>
    </font>
    <font>
      <name val="Verdana"/>
      <family val="2"/>
      <i val="1"/>
      <color theme="1"/>
      <sz val="11"/>
    </font>
    <font>
      <name val="Verdana"/>
      <family val="2"/>
      <b val="1"/>
      <color theme="8" tint="-0.499984740745262"/>
      <sz val="22"/>
    </font>
    <font>
      <name val="Verdana"/>
      <family val="2"/>
      <b val="1"/>
      <color theme="0"/>
      <sz val="16"/>
    </font>
    <font>
      <name val="Calibri"/>
      <sz val="11"/>
    </font>
    <font>
      <name val="Calibri"/>
      <b val="1"/>
      <sz val="11"/>
    </font>
    <font>
      <name val="Calibri"/>
      <color rgb="FF0000FF"/>
      <sz val="11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6">
    <xf numFmtId="0" fontId="1" fillId="0" borderId="0"/>
    <xf numFmtId="169" fontId="1" fillId="0" borderId="0"/>
    <xf numFmtId="9" fontId="1" fillId="0" borderId="0"/>
    <xf numFmtId="43" fontId="1" fillId="0" borderId="0"/>
    <xf numFmtId="169" fontId="1" fillId="0" borderId="0"/>
    <xf numFmtId="166" fontId="1" fillId="0" borderId="0"/>
  </cellStyleXfs>
  <cellXfs count="11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 wrapText="1"/>
    </xf>
    <xf numFmtId="164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5" fontId="2" fillId="0" borderId="8" applyAlignment="1" pivotButton="0" quotePrefix="0" xfId="0">
      <alignment horizontal="center" vertical="center"/>
    </xf>
    <xf numFmtId="165" fontId="2" fillId="0" borderId="8" applyAlignment="1" pivotButton="0" quotePrefix="0" xfId="1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1">
      <alignment horizontal="center" vertical="center"/>
    </xf>
    <xf numFmtId="9" fontId="2" fillId="0" borderId="1" applyAlignment="1" pivotButton="0" quotePrefix="0" xfId="2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1">
      <alignment horizontal="center" vertical="center"/>
    </xf>
    <xf numFmtId="165" fontId="2" fillId="0" borderId="8" applyAlignment="1" pivotButton="0" quotePrefix="0" xfId="1">
      <alignment horizontal="center" vertical="center"/>
    </xf>
    <xf numFmtId="166" fontId="2" fillId="0" borderId="8" applyAlignment="1" pivotButton="0" quotePrefix="0" xfId="5">
      <alignment horizontal="left" vertical="center"/>
    </xf>
    <xf numFmtId="167" fontId="2" fillId="0" borderId="8" applyAlignment="1" pivotButton="0" quotePrefix="0" xfId="3">
      <alignment horizontal="left" vertical="center"/>
    </xf>
    <xf numFmtId="0" fontId="2" fillId="0" borderId="8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9" fontId="2" fillId="0" borderId="1" applyAlignment="1" pivotButton="0" quotePrefix="0" xfId="2">
      <alignment horizontal="center" vertical="center"/>
    </xf>
    <xf numFmtId="165" fontId="2" fillId="0" borderId="1" applyAlignment="1" pivotButton="0" quotePrefix="0" xfId="2">
      <alignment horizontal="center" vertical="center"/>
    </xf>
    <xf numFmtId="168" fontId="2" fillId="0" borderId="8" applyAlignment="1" pivotButton="0" quotePrefix="0" xfId="3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17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9" fillId="0" borderId="4" applyAlignment="1" pivotButton="0" quotePrefix="0" xfId="0">
      <alignment vertical="center" wrapText="1"/>
    </xf>
    <xf numFmtId="0" fontId="9" fillId="0" borderId="0" pivotButton="0" quotePrefix="0" xfId="0"/>
    <xf numFmtId="0" fontId="11" fillId="0" borderId="0" pivotButton="0" quotePrefix="0" xfId="0"/>
    <xf numFmtId="164" fontId="11" fillId="0" borderId="5" applyAlignment="1" pivotButton="0" quotePrefix="0" xfId="0">
      <alignment horizontal="center" vertical="center"/>
    </xf>
    <xf numFmtId="170" fontId="11" fillId="0" borderId="5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1" fillId="0" borderId="5" applyAlignment="1" pivotButton="0" quotePrefix="0" xfId="0">
      <alignment horizontal="center" vertical="center"/>
    </xf>
    <xf numFmtId="0" fontId="9" fillId="0" borderId="4" applyAlignment="1" pivotButton="0" quotePrefix="0" xfId="0">
      <alignment wrapText="1"/>
    </xf>
    <xf numFmtId="0" fontId="1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3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wrapText="1"/>
    </xf>
    <xf numFmtId="3" fontId="11" fillId="0" borderId="0" pivotButton="0" quotePrefix="0" xfId="0"/>
    <xf numFmtId="170" fontId="11" fillId="0" borderId="3" applyAlignment="1" pivotButton="0" quotePrefix="0" xfId="0">
      <alignment horizontal="center" vertical="center"/>
    </xf>
    <xf numFmtId="170" fontId="1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 wrapText="1"/>
    </xf>
    <xf numFmtId="3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170" fontId="11" fillId="0" borderId="0" pivotButton="0" quotePrefix="0" xfId="0"/>
    <xf numFmtId="3" fontId="9" fillId="0" borderId="0" pivotButton="0" quotePrefix="0" xfId="0"/>
    <xf numFmtId="0" fontId="9" fillId="0" borderId="5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8" fillId="3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0" pivotButton="0" quotePrefix="0" xfId="0"/>
    <xf numFmtId="166" fontId="2" fillId="0" borderId="8" applyAlignment="1" pivotButton="0" quotePrefix="0" xfId="5">
      <alignment horizontal="left" vertical="center"/>
    </xf>
    <xf numFmtId="167" fontId="2" fillId="0" borderId="8" applyAlignment="1" pivotButton="0" quotePrefix="0" xfId="3">
      <alignment horizontal="left" vertical="center"/>
    </xf>
    <xf numFmtId="164" fontId="2" fillId="0" borderId="8" applyAlignment="1" pivotButton="0" quotePrefix="0" xfId="3">
      <alignment horizontal="left" vertical="center"/>
    </xf>
    <xf numFmtId="165" fontId="2" fillId="0" borderId="8" applyAlignment="1" pivotButton="0" quotePrefix="0" xfId="1">
      <alignment horizontal="center" vertical="center"/>
    </xf>
    <xf numFmtId="165" fontId="2" fillId="0" borderId="8" applyAlignment="1" pivotButton="0" quotePrefix="0" xfId="0">
      <alignment horizontal="center" vertical="center"/>
    </xf>
    <xf numFmtId="168" fontId="2" fillId="0" borderId="8" applyAlignment="1" pivotButton="0" quotePrefix="0" xfId="3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165" fontId="2" fillId="0" borderId="1" applyAlignment="1" pivotButton="0" quotePrefix="0" xfId="1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2" fillId="0" borderId="1" applyAlignment="1" pivotButton="0" quotePrefix="0" xfId="2">
      <alignment horizontal="center" vertical="center"/>
    </xf>
  </cellXfs>
  <cellStyles count="6">
    <cellStyle name="Normal" xfId="0" builtinId="0"/>
    <cellStyle name="Moneda" xfId="1" builtinId="4"/>
    <cellStyle name="Porcentaje" xfId="2" builtinId="5"/>
    <cellStyle name="Millares" xfId="3" builtinId="3"/>
    <cellStyle name="Moneda 2" xfId="4"/>
    <cellStyle name="Moneda [0]" xfId="5" builtinId="7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0"/>
  <sheetViews>
    <sheetView workbookViewId="0">
      <selection activeCell="H8" sqref="H8"/>
    </sheetView>
  </sheetViews>
  <sheetFormatPr baseColWidth="8" defaultColWidth="11.42578125" defaultRowHeight="15"/>
  <cols>
    <col width="3.42578125" customWidth="1" min="1" max="1"/>
    <col width="12" customWidth="1" min="2" max="3"/>
    <col width="3.42578125" customWidth="1" min="4" max="4"/>
    <col width="12" customWidth="1" min="5" max="6"/>
    <col width="3.42578125" customWidth="1" min="7" max="7"/>
    <col width="12" customWidth="1" min="8" max="9"/>
    <col width="3.42578125" customWidth="1" min="10" max="10"/>
    <col width="12" customWidth="1" min="11" max="11"/>
    <col width="16.140625" customWidth="1" min="12" max="12"/>
    <col width="3.42578125" customWidth="1" min="13" max="13"/>
    <col width="12" customWidth="1" min="14" max="14"/>
    <col width="15.85546875" customWidth="1" min="15" max="15"/>
  </cols>
  <sheetData>
    <row r="1" ht="30" customHeight="1">
      <c r="B1" s="64" t="inlineStr">
        <is>
          <t>Demanda / mes</t>
        </is>
      </c>
      <c r="C1" s="65" t="n"/>
      <c r="D1" s="66" t="n"/>
      <c r="E1" s="67" t="inlineStr">
        <is>
          <t>Personal</t>
        </is>
      </c>
      <c r="G1" s="66" t="n"/>
      <c r="H1" s="64" t="inlineStr">
        <is>
          <t>Tiempos por solicitud AS-IS (min)</t>
        </is>
      </c>
      <c r="I1" s="65" t="n"/>
      <c r="J1" s="66" t="n"/>
      <c r="K1" s="64" t="inlineStr">
        <is>
          <t>Calidad</t>
        </is>
      </c>
      <c r="L1" s="65" t="n"/>
      <c r="M1" s="66" t="n"/>
      <c r="N1" s="67" t="inlineStr">
        <is>
          <t>Simulación BIMP</t>
        </is>
      </c>
    </row>
    <row r="2" ht="32.1" customHeight="1">
      <c r="B2" s="68" t="n">
        <v>300</v>
      </c>
      <c r="C2" s="69" t="inlineStr">
        <is>
          <t>Solicitudes por día</t>
        </is>
      </c>
      <c r="D2" s="70" t="n"/>
      <c r="E2" s="71" t="n">
        <v>4</v>
      </c>
      <c r="F2" s="70" t="inlineStr">
        <is>
          <t>Auxiliares de agendamiento</t>
        </is>
      </c>
      <c r="G2" s="70" t="n"/>
      <c r="H2" s="72" t="n">
        <v>1.5</v>
      </c>
      <c r="I2" s="69" t="inlineStr">
        <is>
          <t>Recibir y leer la solicitud</t>
        </is>
      </c>
      <c r="J2" s="70" t="n"/>
      <c r="K2" s="73" t="n">
        <v>0.1</v>
      </c>
      <c r="L2" s="74" t="inlineStr">
        <is>
          <t>Citas canceladas por error/autorización (hoy)</t>
        </is>
      </c>
      <c r="M2" s="70" t="n"/>
      <c r="N2" s="75" t="n">
        <v>3.3</v>
      </c>
      <c r="O2" s="76" t="inlineStr">
        <is>
          <t>Tiempo promedio por solicitud AS-IS (horas)</t>
        </is>
      </c>
    </row>
    <row r="3" ht="48" customHeight="1">
      <c r="B3" s="77" t="n">
        <v>22</v>
      </c>
      <c r="C3" s="69" t="inlineStr">
        <is>
          <t>Días hábiles al mes</t>
        </is>
      </c>
      <c r="D3" s="70" t="n"/>
      <c r="E3" s="71" t="n">
        <v>8</v>
      </c>
      <c r="F3" s="70" t="inlineStr">
        <is>
          <t>Horas por día</t>
        </is>
      </c>
      <c r="G3" s="70" t="n"/>
      <c r="H3" s="77" t="n">
        <v>2.5</v>
      </c>
      <c r="I3" s="69" t="inlineStr">
        <is>
          <t>Consultar paciente en portal EPS</t>
        </is>
      </c>
      <c r="J3" s="70" t="n"/>
      <c r="K3" s="73" t="n">
        <v>0.03</v>
      </c>
      <c r="L3" s="78" t="inlineStr">
        <is>
          <t>Citas canceladas con la solución</t>
        </is>
      </c>
      <c r="M3" s="70" t="n"/>
      <c r="N3" s="79" t="n">
        <v>7.3</v>
      </c>
      <c r="O3" s="80" t="inlineStr">
        <is>
          <t>Tiempo promedio por solicitud TO-BE (minutos)</t>
        </is>
      </c>
    </row>
    <row r="4" ht="50.25" customHeight="1" thickBot="1">
      <c r="B4" s="81">
        <f>B2*B3</f>
        <v/>
      </c>
      <c r="C4" s="82" t="inlineStr">
        <is>
          <t>Solicitudes al mes</t>
        </is>
      </c>
      <c r="D4" s="70" t="n"/>
      <c r="E4" s="83" t="n">
        <v>1800000</v>
      </c>
      <c r="F4" s="70" t="inlineStr">
        <is>
          <t>Salario mensual por auxiliar</t>
        </is>
      </c>
      <c r="G4" s="70" t="n"/>
      <c r="H4" s="77" t="n">
        <v>3</v>
      </c>
      <c r="I4" s="69" t="inlineStr">
        <is>
          <t>Buscar espacio y registrar cita</t>
        </is>
      </c>
      <c r="J4" s="70" t="n"/>
      <c r="K4" s="84" t="n">
        <v>0.2</v>
      </c>
      <c r="L4" s="82" t="inlineStr">
        <is>
          <t>Inasistencia (hoy, sin recordatorio)</t>
        </is>
      </c>
      <c r="M4" s="70" t="n"/>
      <c r="N4" s="85" t="n">
        <v>0.969</v>
      </c>
      <c r="O4" s="86" t="inlineStr">
        <is>
          <t>Ocupación de auxiliares AS-IS</t>
        </is>
      </c>
    </row>
    <row r="5" ht="32.1" customHeight="1">
      <c r="B5" s="87">
        <f>B4*81%</f>
        <v/>
      </c>
      <c r="C5" s="88" t="inlineStr">
        <is>
          <t>Citas asignadas al mes (81 % de las solicitudes, según simulación)</t>
        </is>
      </c>
      <c r="D5" s="70" t="n"/>
      <c r="E5" s="89" t="n">
        <v>0.54</v>
      </c>
      <c r="F5" s="70" t="inlineStr">
        <is>
          <t>Factor prestacional</t>
        </is>
      </c>
      <c r="G5" s="70" t="n"/>
      <c r="H5" s="77" t="n">
        <v>1</v>
      </c>
      <c r="I5" s="78" t="inlineStr">
        <is>
          <t>Confirmar al paciente</t>
        </is>
      </c>
      <c r="J5" s="70" t="n"/>
      <c r="K5" s="89" t="n">
        <v>0.15</v>
      </c>
      <c r="L5" s="70" t="inlineStr">
        <is>
          <t>Inasistencia con recordatorio</t>
        </is>
      </c>
      <c r="M5" s="70" t="n"/>
      <c r="N5" s="89" t="n">
        <v>0.273</v>
      </c>
      <c r="O5" s="70" t="inlineStr">
        <is>
          <t>Ocupación de auxiliares TO-BE</t>
        </is>
      </c>
    </row>
    <row r="6" ht="32.1" customHeight="1">
      <c r="B6" s="70" t="n"/>
      <c r="C6" s="70" t="n"/>
      <c r="D6" s="70" t="n"/>
      <c r="E6" s="90">
        <f>E4*(1+E5)/(E3*B3)</f>
        <v/>
      </c>
      <c r="F6" s="70" t="inlineStr">
        <is>
          <t>Costo por hora de un auxiliar</t>
        </is>
      </c>
      <c r="G6" s="70" t="n"/>
      <c r="H6" s="91">
        <f>SUM(H2:H5)</f>
        <v/>
      </c>
      <c r="I6" s="78" t="inlineStr">
        <is>
          <t>Total por solicitud</t>
        </is>
      </c>
      <c r="J6" s="70" t="n"/>
      <c r="K6" s="83" t="n">
        <v>35000</v>
      </c>
      <c r="L6" s="70" t="inlineStr">
        <is>
          <t>Valor promedio de una consulta</t>
        </is>
      </c>
      <c r="M6" s="70" t="n"/>
      <c r="N6" s="70" t="n"/>
      <c r="O6" s="70" t="n"/>
    </row>
    <row r="7" ht="33" customHeight="1" thickBot="1">
      <c r="B7" s="70" t="n"/>
      <c r="C7" s="70" t="n"/>
      <c r="D7" s="70" t="n"/>
      <c r="E7" s="70" t="n"/>
      <c r="F7" s="70" t="n"/>
      <c r="G7" s="70" t="n"/>
      <c r="H7" s="92" t="n"/>
      <c r="I7" s="93" t="n"/>
      <c r="J7" s="70" t="n"/>
      <c r="K7" s="89" t="n">
        <v>0.7</v>
      </c>
      <c r="L7" s="70" t="inlineStr">
        <is>
          <t>Margen de contribución de la consulta</t>
        </is>
      </c>
      <c r="M7" s="70" t="n"/>
      <c r="N7" s="70" t="n"/>
      <c r="O7" s="70" t="n"/>
    </row>
    <row r="8"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</row>
    <row r="9">
      <c r="B9" s="70" t="n"/>
      <c r="C9" s="70" t="n"/>
      <c r="D9" s="70" t="n"/>
      <c r="E9" s="70" t="n"/>
      <c r="F9" s="70" t="n"/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</row>
    <row r="10">
      <c r="B10" s="70" t="n"/>
      <c r="C10" s="70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</row>
  </sheetData>
  <mergeCells count="5">
    <mergeCell ref="E1:F1"/>
    <mergeCell ref="K1:L1"/>
    <mergeCell ref="H1:I1"/>
    <mergeCell ref="B1:C1"/>
    <mergeCell ref="N1:O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tabSelected="1" zoomScaleNormal="100" workbookViewId="0">
      <selection activeCell="E43" sqref="E43"/>
    </sheetView>
  </sheetViews>
  <sheetFormatPr baseColWidth="8" defaultColWidth="13.42578125" defaultRowHeight="14.1"/>
  <cols>
    <col width="62.85546875" customWidth="1" style="19" min="1" max="1"/>
    <col width="19.85546875" bestFit="1" customWidth="1" style="19" min="2" max="2"/>
    <col width="21.140625" bestFit="1" customWidth="1" style="19" min="3" max="3"/>
    <col width="29.42578125" customWidth="1" style="19" min="4" max="4"/>
    <col width="22.42578125" customWidth="1" style="19" min="5" max="5"/>
    <col width="2.42578125" customWidth="1" style="19" min="6" max="6"/>
    <col width="20.140625" bestFit="1" customWidth="1" style="19" min="7" max="7"/>
    <col width="24.42578125" bestFit="1" customWidth="1" style="19" min="8" max="8"/>
    <col width="24" customWidth="1" style="19" min="9" max="9"/>
    <col width="22.85546875" bestFit="1" customWidth="1" style="19" min="10" max="10"/>
    <col width="24" customWidth="1" style="19" min="11" max="11"/>
    <col width="22.140625" bestFit="1" customWidth="1" style="19" min="12" max="12"/>
    <col width="13.42578125" customWidth="1" style="19" min="13" max="16384"/>
  </cols>
  <sheetData>
    <row r="1" ht="24" customHeight="1">
      <c r="A1" s="51" t="n"/>
      <c r="B1" s="94" t="n"/>
      <c r="C1" s="95" t="n"/>
      <c r="D1" s="52" t="inlineStr">
        <is>
          <t>CASO DE NEGOCIO: AUTOMATIZACIÓN DE ASIGNACIÓN DE CITAS MÉDICAS</t>
        </is>
      </c>
      <c r="E1" s="94" t="n"/>
      <c r="F1" s="94" t="n"/>
      <c r="G1" s="94" t="n"/>
      <c r="H1" s="94" t="n"/>
      <c r="I1" s="94" t="n"/>
      <c r="J1" s="94" t="n"/>
      <c r="K1" s="94" t="n"/>
      <c r="L1" s="95" t="n"/>
    </row>
    <row r="2" ht="24" customHeight="1">
      <c r="A2" s="96" t="n"/>
      <c r="C2" s="97" t="n"/>
      <c r="D2" s="96" t="n"/>
      <c r="L2" s="97" t="n"/>
    </row>
    <row r="3" ht="24" customHeight="1">
      <c r="A3" s="98" t="n"/>
      <c r="B3" s="99" t="n"/>
      <c r="C3" s="100" t="n"/>
      <c r="D3" s="98" t="n"/>
      <c r="E3" s="99" t="n"/>
      <c r="F3" s="99" t="n"/>
      <c r="G3" s="99" t="n"/>
      <c r="H3" s="99" t="n"/>
      <c r="I3" s="99" t="n"/>
      <c r="J3" s="99" t="n"/>
      <c r="K3" s="99" t="n"/>
      <c r="L3" s="100" t="n"/>
    </row>
    <row r="4" ht="24" customHeight="1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</row>
    <row r="5" ht="42" customHeight="1">
      <c r="A5" s="101" t="inlineStr">
        <is>
          <t>Liberación de Tiempo</t>
        </is>
      </c>
      <c r="B5" s="102" t="n"/>
      <c r="C5" s="102" t="n"/>
      <c r="D5" s="102" t="n"/>
      <c r="E5" s="103" t="n"/>
      <c r="G5" s="53" t="inlineStr">
        <is>
          <t>Desarrollo del caso de negocio</t>
        </is>
      </c>
      <c r="H5" s="102" t="n"/>
      <c r="I5" s="102" t="n"/>
      <c r="J5" s="102" t="n"/>
      <c r="K5" s="102" t="n"/>
      <c r="L5" s="102" t="n"/>
    </row>
    <row r="6" ht="45" customHeight="1">
      <c r="A6" s="23" t="inlineStr">
        <is>
          <t>Tarea Impactada</t>
        </is>
      </c>
      <c r="B6" s="23" t="inlineStr">
        <is>
          <t>Proceso</t>
        </is>
      </c>
      <c r="C6" s="23" t="inlineStr">
        <is>
          <t>Costo de la Tarea</t>
        </is>
      </c>
      <c r="D6" s="23" t="inlineStr">
        <is>
          <t>Cant. de repeticiones mes</t>
        </is>
      </c>
      <c r="E6" s="24" t="inlineStr">
        <is>
          <t>Tiempo de la Tarea 
(Horas)</t>
        </is>
      </c>
      <c r="G6" s="23" t="inlineStr">
        <is>
          <t>Periodo
(Mes)</t>
        </is>
      </c>
      <c r="H6" s="23" t="inlineStr">
        <is>
          <t>Liberación de Tiempo</t>
        </is>
      </c>
      <c r="I6" s="23" t="inlineStr">
        <is>
          <t>Otros Beneficios</t>
        </is>
      </c>
      <c r="J6" s="23" t="inlineStr">
        <is>
          <t>Egresos 
(Costos del caso de negocio)</t>
        </is>
      </c>
      <c r="K6" s="23" t="inlineStr">
        <is>
          <t>Flujo de Caja</t>
        </is>
      </c>
      <c r="L6" s="23" t="inlineStr">
        <is>
          <t>Flujo de Caja acumulado</t>
        </is>
      </c>
    </row>
    <row r="7" ht="43.5" customHeight="1">
      <c r="A7" s="37" t="inlineStr">
        <is>
          <t>Recibir y leer la solicitud (teléfono, WhatsApp, correo)</t>
        </is>
      </c>
      <c r="B7" s="37" t="inlineStr">
        <is>
          <t>Asignación de citas médicas</t>
        </is>
      </c>
      <c r="C7" s="104">
        <f>D7*E7*'Entradas Agendamiento'!$E$6</f>
        <v/>
      </c>
      <c r="D7" s="105">
        <f>'Entradas Agendamiento'!$B$4</f>
        <v/>
      </c>
      <c r="E7" s="106">
        <f>'Entradas Agendamiento'!H2/60</f>
        <v/>
      </c>
      <c r="G7" s="22" t="n">
        <v>0</v>
      </c>
      <c r="H7" s="107" t="n">
        <v>0</v>
      </c>
      <c r="I7" s="107" t="n">
        <v>0</v>
      </c>
      <c r="J7" s="107">
        <f>($B$22+$B$23)/2</f>
        <v/>
      </c>
      <c r="K7" s="108">
        <f>(I7+H7)-J7</f>
        <v/>
      </c>
      <c r="L7" s="108">
        <f>K7</f>
        <v/>
      </c>
    </row>
    <row r="8" ht="43.5" customHeight="1">
      <c r="A8" s="37" t="inlineStr">
        <is>
          <t>Consultar paciente y autorización en portal EPS</t>
        </is>
      </c>
      <c r="B8" s="37" t="inlineStr">
        <is>
          <t>Asignación de citas médicas</t>
        </is>
      </c>
      <c r="C8" s="104">
        <f>D8*E8*'Entradas Agendamiento'!$E$6</f>
        <v/>
      </c>
      <c r="D8" s="105">
        <f>'Entradas Agendamiento'!$B$4</f>
        <v/>
      </c>
      <c r="E8" s="106">
        <f>'Entradas Agendamiento'!H3/60</f>
        <v/>
      </c>
      <c r="G8" s="22" t="n">
        <v>1</v>
      </c>
      <c r="H8" s="107">
        <f>$C$13</f>
        <v/>
      </c>
      <c r="I8" s="107" t="n">
        <v>0</v>
      </c>
      <c r="J8" s="107">
        <f>($B$22+$B$23)/2</f>
        <v/>
      </c>
      <c r="K8" s="108">
        <f>(I8+H8)-J8</f>
        <v/>
      </c>
      <c r="L8" s="108">
        <f>L7+K8</f>
        <v/>
      </c>
    </row>
    <row r="9">
      <c r="A9" s="37" t="inlineStr">
        <is>
          <t>Buscar espacio y registrar la cita</t>
        </is>
      </c>
      <c r="B9" s="37" t="inlineStr">
        <is>
          <t>Asignación de citas médicas</t>
        </is>
      </c>
      <c r="C9" s="104">
        <f>D9*E9*'Entradas Agendamiento'!$E$6</f>
        <v/>
      </c>
      <c r="D9" s="105">
        <f>'Entradas Agendamiento'!$B$4</f>
        <v/>
      </c>
      <c r="E9" s="106">
        <f>'Entradas Agendamiento'!H4/60</f>
        <v/>
      </c>
      <c r="G9" s="22" t="n">
        <v>2</v>
      </c>
      <c r="H9" s="107">
        <f>$C$13</f>
        <v/>
      </c>
      <c r="I9" s="107" t="n">
        <v>0</v>
      </c>
      <c r="J9" s="107">
        <f>($B$24+$B$25)/12</f>
        <v/>
      </c>
      <c r="K9" s="108">
        <f>(I9+H9)-J9</f>
        <v/>
      </c>
      <c r="L9" s="108">
        <f>L8+K9</f>
        <v/>
      </c>
    </row>
    <row r="10">
      <c r="A10" s="37" t="inlineStr">
        <is>
          <t>Confirmar la cita al paciente</t>
        </is>
      </c>
      <c r="B10" s="37" t="inlineStr">
        <is>
          <t>Asignación de citas médicas</t>
        </is>
      </c>
      <c r="C10" s="104">
        <f>D10*E10*'Entradas Agendamiento'!$E$6</f>
        <v/>
      </c>
      <c r="D10" s="105">
        <f>'Entradas Agendamiento'!$B$4</f>
        <v/>
      </c>
      <c r="E10" s="106">
        <f>'Entradas Agendamiento'!H5/60</f>
        <v/>
      </c>
      <c r="G10" s="22" t="n">
        <v>3</v>
      </c>
      <c r="H10" s="107">
        <f>$C$13</f>
        <v/>
      </c>
      <c r="I10" s="107" t="n">
        <v>0</v>
      </c>
      <c r="J10" s="107">
        <f>($B$24+$B$25)/12</f>
        <v/>
      </c>
      <c r="K10" s="108">
        <f>(H10+I10)-J10</f>
        <v/>
      </c>
      <c r="L10" s="108">
        <f>L9+K10</f>
        <v/>
      </c>
    </row>
    <row r="11">
      <c r="A11" s="37" t="n"/>
      <c r="B11" s="37" t="n"/>
      <c r="C11" s="104" t="n"/>
      <c r="D11" s="105" t="n"/>
      <c r="E11" s="109" t="n"/>
      <c r="G11" s="22" t="n">
        <v>4</v>
      </c>
      <c r="H11" s="107">
        <f>$C$13</f>
        <v/>
      </c>
      <c r="I11" s="107" t="n">
        <v>0</v>
      </c>
      <c r="J11" s="107">
        <f>($B$24+$B$25)/12</f>
        <v/>
      </c>
      <c r="K11" s="108">
        <f>(I11+H11)-J11</f>
        <v/>
      </c>
      <c r="L11" s="108">
        <f>L10+K11</f>
        <v/>
      </c>
    </row>
    <row r="12">
      <c r="G12" s="22" t="n">
        <v>5</v>
      </c>
      <c r="H12" s="107">
        <f>$C$13</f>
        <v/>
      </c>
      <c r="I12" s="107" t="n">
        <v>0</v>
      </c>
      <c r="J12" s="107">
        <f>($B$24+$B$25)/12</f>
        <v/>
      </c>
      <c r="K12" s="108">
        <f>(I12+H12)-J12</f>
        <v/>
      </c>
      <c r="L12" s="108">
        <f>L11+K12</f>
        <v/>
      </c>
    </row>
    <row r="13">
      <c r="A13" s="23" t="inlineStr">
        <is>
          <t>Disminución costo del Recurso para el Proceso</t>
        </is>
      </c>
      <c r="B13" s="103" t="n"/>
      <c r="C13" s="104">
        <f>(4-2)*'Entradas Agendamiento'!$E$4*(1+'Entradas Agendamiento'!$E$5)</f>
        <v/>
      </c>
      <c r="D13" t="inlineStr">
        <is>
          <t>Pasar de 4 a 2 auxiliares (salario + prestaciones), por mes</t>
        </is>
      </c>
      <c r="G13" s="22" t="n">
        <v>6</v>
      </c>
      <c r="H13" s="107">
        <f>$C$13</f>
        <v/>
      </c>
      <c r="I13" s="107">
        <f>SUM($B$17:$B$18)</f>
        <v/>
      </c>
      <c r="J13" s="107">
        <f>($B$24+$B$25)/12</f>
        <v/>
      </c>
      <c r="K13" s="108">
        <f>(I13+H13)-J13</f>
        <v/>
      </c>
      <c r="L13" s="108">
        <f>L12+K13</f>
        <v/>
      </c>
    </row>
    <row r="14" ht="17.85" customHeight="1">
      <c r="G14" s="22" t="n">
        <v>7</v>
      </c>
      <c r="H14" s="107">
        <f>$C$13</f>
        <v/>
      </c>
      <c r="I14" s="107">
        <f>SUM($B$17:$B$18)</f>
        <v/>
      </c>
      <c r="J14" s="107">
        <f>($B$24+$B$25)/12</f>
        <v/>
      </c>
      <c r="K14" s="108">
        <f>(I14+H14)-J14</f>
        <v/>
      </c>
      <c r="L14" s="108">
        <f>L13+K14</f>
        <v/>
      </c>
    </row>
    <row r="15" ht="20.1" customHeight="1">
      <c r="A15" s="110" t="inlineStr">
        <is>
          <t>Otros Beneficios</t>
        </is>
      </c>
      <c r="B15" s="111" t="n"/>
      <c r="C15" s="111" t="n"/>
      <c r="D15" s="111" t="n"/>
      <c r="E15" s="112" t="n"/>
      <c r="G15" s="22" t="n">
        <v>8</v>
      </c>
      <c r="H15" s="107">
        <f>$C$13</f>
        <v/>
      </c>
      <c r="I15" s="107">
        <f>SUM($B$17:$B$18)</f>
        <v/>
      </c>
      <c r="J15" s="107">
        <f>($B$24+$B$25)/12</f>
        <v/>
      </c>
      <c r="K15" s="108">
        <f>(I15+H15)-J15</f>
        <v/>
      </c>
      <c r="L15" s="108">
        <f>L14+K15</f>
        <v/>
      </c>
    </row>
    <row r="16" ht="15" customHeight="1">
      <c r="A16" s="43" t="inlineStr">
        <is>
          <t>Descripción</t>
        </is>
      </c>
      <c r="B16" s="43" t="inlineStr">
        <is>
          <t>Costo</t>
        </is>
      </c>
      <c r="C16" s="43" t="inlineStr">
        <is>
          <t>Observación</t>
        </is>
      </c>
      <c r="D16" s="111" t="n"/>
      <c r="E16" s="112" t="n"/>
      <c r="G16" s="22" t="n">
        <v>9</v>
      </c>
      <c r="H16" s="107">
        <f>$C$13</f>
        <v/>
      </c>
      <c r="I16" s="107">
        <f>SUM($B$17:$B$18)</f>
        <v/>
      </c>
      <c r="J16" s="107">
        <f>($B$24+$B$25)/12</f>
        <v/>
      </c>
      <c r="K16" s="108">
        <f>(I16+H16)-J16</f>
        <v/>
      </c>
      <c r="L16" s="108">
        <f>L15+K16</f>
        <v/>
      </c>
    </row>
    <row r="17">
      <c r="A17" s="32" t="inlineStr">
        <is>
          <t>Menos citas canceladas por error o falta de autorización (10 % → 3 %)</t>
        </is>
      </c>
      <c r="B17" s="113">
        <f>'Entradas Agendamiento'!B5*('Entradas Agendamiento'!K2-'Entradas Agendamiento'!K3)*50%*'Entradas Agendamiento'!K6*'Entradas Agendamiento'!K7</f>
        <v/>
      </c>
      <c r="C17" s="50" t="inlineStr">
        <is>
          <t>Se reocupa la mitad de los espacios recuperados; valor = margen de la consulta</t>
        </is>
      </c>
      <c r="D17" s="111" t="n"/>
      <c r="E17" s="112" t="n"/>
      <c r="G17" s="22" t="n">
        <v>10</v>
      </c>
      <c r="H17" s="107">
        <f>$C$13</f>
        <v/>
      </c>
      <c r="I17" s="107">
        <f>SUM($B$17:$B$18)</f>
        <v/>
      </c>
      <c r="J17" s="107">
        <f>($B$24+$B$25)/12</f>
        <v/>
      </c>
      <c r="K17" s="108">
        <f>(I17+H17)-J17</f>
        <v/>
      </c>
      <c r="L17" s="108">
        <f>L16+K17</f>
        <v/>
      </c>
    </row>
    <row r="18">
      <c r="A18" s="32" t="inlineStr">
        <is>
          <t>Menos inasistencia gracias al recordatorio (20 % → 15 %)</t>
        </is>
      </c>
      <c r="B18" s="113">
        <f>'Entradas Agendamiento'!B5*('Entradas Agendamiento'!K4-'Entradas Agendamiento'!K5)*'Entradas Agendamiento'!K6*'Entradas Agendamiento'!K7</f>
        <v/>
      </c>
      <c r="C18" s="50" t="inlineStr">
        <is>
          <t>Citas que sí se atienden; valor = margen de la consulta</t>
        </is>
      </c>
      <c r="D18" s="111" t="n"/>
      <c r="E18" s="112" t="n"/>
      <c r="G18" s="22" t="n">
        <v>11</v>
      </c>
      <c r="H18" s="107">
        <f>$C$13</f>
        <v/>
      </c>
      <c r="I18" s="107">
        <f>SUM($B$17:$B$18)</f>
        <v/>
      </c>
      <c r="J18" s="107">
        <f>($B$24+$B$25)/12</f>
        <v/>
      </c>
      <c r="K18" s="108">
        <f>(I18+H18)-J18</f>
        <v/>
      </c>
      <c r="L18" s="108">
        <f>L17+K18</f>
        <v/>
      </c>
    </row>
    <row r="19">
      <c r="G19" s="22" t="n">
        <v>12</v>
      </c>
      <c r="H19" s="107">
        <f>$C$13</f>
        <v/>
      </c>
      <c r="I19" s="107">
        <f>SUM($B$17:$B$18)</f>
        <v/>
      </c>
      <c r="J19" s="107">
        <f>($B$24+$B$25)/12</f>
        <v/>
      </c>
      <c r="K19" s="108">
        <f>(I19+H19)-J19</f>
        <v/>
      </c>
      <c r="L19" s="108">
        <f>L18+K19</f>
        <v/>
      </c>
    </row>
    <row r="20" ht="20.1" customHeight="1">
      <c r="A20" s="110" t="inlineStr">
        <is>
          <t>Egresos (Costos del caso de negocio)</t>
        </is>
      </c>
      <c r="B20" s="111" t="n"/>
      <c r="C20" s="111" t="n"/>
      <c r="D20" s="111" t="n"/>
      <c r="E20" s="112" t="n"/>
    </row>
    <row r="21" ht="45" customHeight="1">
      <c r="A21" s="43" t="inlineStr">
        <is>
          <t>Descripción</t>
        </is>
      </c>
      <c r="B21" s="43" t="inlineStr">
        <is>
          <t>Costo</t>
        </is>
      </c>
      <c r="C21" s="43" t="inlineStr">
        <is>
          <t>Observación</t>
        </is>
      </c>
      <c r="D21" s="111" t="n"/>
      <c r="E21" s="112" t="n"/>
      <c r="G21" s="23" t="inlineStr">
        <is>
          <t>Periodo
(Mes)</t>
        </is>
      </c>
      <c r="H21" s="23" t="inlineStr">
        <is>
          <t>Liberación de Tiempo</t>
        </is>
      </c>
      <c r="I21" s="23" t="inlineStr">
        <is>
          <t>Otros Beneficios</t>
        </is>
      </c>
      <c r="J21" s="23" t="inlineStr">
        <is>
          <t>Egresos 
(Costos del caso de negocio)</t>
        </is>
      </c>
      <c r="K21" s="23" t="inlineStr">
        <is>
          <t>Flujo de Caja</t>
        </is>
      </c>
      <c r="L21" s="23" t="inlineStr">
        <is>
          <t>Flujo de Caja acumulado</t>
        </is>
      </c>
    </row>
    <row r="22">
      <c r="A22" s="32" t="inlineStr">
        <is>
          <t>Desarrollo de la solución (bots RPA, flujos n8n e IA)</t>
        </is>
      </c>
      <c r="B22" s="113" t="n">
        <v>45000000</v>
      </c>
      <c r="C22" s="50" t="inlineStr">
        <is>
          <t>Pago única vez</t>
        </is>
      </c>
      <c r="D22" s="111" t="n"/>
      <c r="E22" s="112" t="n"/>
      <c r="G22" s="60" t="inlineStr">
        <is>
          <t>Inversión Inicial</t>
        </is>
      </c>
      <c r="H22" s="114" t="n">
        <v>0</v>
      </c>
      <c r="I22" s="114" t="n">
        <v>0</v>
      </c>
      <c r="J22" s="114">
        <f>J7</f>
        <v/>
      </c>
      <c r="K22" s="114">
        <f>K7</f>
        <v/>
      </c>
      <c r="L22" s="114">
        <f>K22</f>
        <v/>
      </c>
    </row>
    <row r="23">
      <c r="A23" s="32" t="inlineStr">
        <is>
          <t>Implementación (Ley 1581, capacitación, salida de 2 auxiliares)</t>
        </is>
      </c>
      <c r="B23" s="113" t="n">
        <v>13000000</v>
      </c>
      <c r="C23" s="50" t="inlineStr">
        <is>
          <t>Pago única vez</t>
        </is>
      </c>
      <c r="D23" s="111" t="n"/>
      <c r="E23" s="112" t="n"/>
      <c r="G23" s="60" t="inlineStr">
        <is>
          <t>Total Año 1</t>
        </is>
      </c>
      <c r="H23" s="114">
        <f>SUM(H8:H19)</f>
        <v/>
      </c>
      <c r="I23" s="114">
        <f>SUM(I8:I19)</f>
        <v/>
      </c>
      <c r="J23" s="114">
        <f>SUM(J8:J19)</f>
        <v/>
      </c>
      <c r="K23" s="108">
        <f>(I23+H23)-J23</f>
        <v/>
      </c>
      <c r="L23" s="114">
        <f>L22+K23</f>
        <v/>
      </c>
    </row>
    <row r="24" ht="14.1" customHeight="1">
      <c r="A24" s="32" t="inlineStr">
        <is>
          <t>Licenciamiento (API de IA, WhatsApp, telefonía)</t>
        </is>
      </c>
      <c r="B24" s="113" t="n">
        <v>14400000</v>
      </c>
      <c r="C24" s="50" t="inlineStr">
        <is>
          <t>Pago anual</t>
        </is>
      </c>
      <c r="D24" s="111" t="n"/>
      <c r="E24" s="112" t="n"/>
      <c r="G24" s="60" t="inlineStr">
        <is>
          <t>Total Año 2</t>
        </is>
      </c>
      <c r="H24" s="114">
        <f>H23*(1+IPC)</f>
        <v/>
      </c>
      <c r="I24" s="114">
        <f>SUM($B$17:$B$18)*12*(1+IPC)</f>
        <v/>
      </c>
      <c r="J24" s="114">
        <f>($B$24+$B$25)*(1+IPC)</f>
        <v/>
      </c>
      <c r="K24" s="114">
        <f>(I24+H24)-J24</f>
        <v/>
      </c>
      <c r="L24" s="114">
        <f>L23+K24</f>
        <v/>
      </c>
    </row>
    <row r="25">
      <c r="A25" s="32" t="inlineStr">
        <is>
          <t>Soporte, Mantenimiento e Infraestructura (servidor n8n en la nube)</t>
        </is>
      </c>
      <c r="B25" s="113" t="n">
        <v>27600000</v>
      </c>
      <c r="C25" s="50" t="inlineStr">
        <is>
          <t>Pago anual</t>
        </is>
      </c>
      <c r="D25" s="111" t="n"/>
      <c r="E25" s="112" t="n"/>
      <c r="G25" s="60" t="inlineStr">
        <is>
          <t>Total Año 3</t>
        </is>
      </c>
      <c r="H25" s="114">
        <f>H24*(1+IPC)</f>
        <v/>
      </c>
      <c r="I25" s="114">
        <f>I24*(1+IPC)</f>
        <v/>
      </c>
      <c r="J25" s="114">
        <f>J24*(1+IPC)</f>
        <v/>
      </c>
      <c r="K25" s="113">
        <f>(I25+H25)-J25</f>
        <v/>
      </c>
      <c r="L25" s="114">
        <f>L24+K25</f>
        <v/>
      </c>
    </row>
    <row r="26">
      <c r="A26" s="32" t="n"/>
      <c r="B26" s="113" t="n"/>
      <c r="C26" s="50" t="n"/>
      <c r="D26" s="111" t="n"/>
      <c r="E26" s="112" t="n"/>
      <c r="G26" s="60" t="inlineStr">
        <is>
          <t>TOTAL</t>
        </is>
      </c>
      <c r="H26" s="115">
        <f>SUM(H23:H25)</f>
        <v/>
      </c>
      <c r="I26" s="115">
        <f>SUM(I23:I25)</f>
        <v/>
      </c>
      <c r="J26" s="115">
        <f>SUM(J22:J25)</f>
        <v/>
      </c>
      <c r="K26" s="115">
        <f>SUM(K22:K25)</f>
        <v/>
      </c>
      <c r="L26" s="115" t="n"/>
    </row>
    <row r="27" ht="14.25" customHeight="1">
      <c r="A27" s="32" t="n"/>
      <c r="B27" s="113" t="n"/>
      <c r="C27" s="50" t="n"/>
      <c r="D27" s="111" t="n"/>
      <c r="E27" s="112" t="n"/>
    </row>
    <row r="28">
      <c r="A28" s="32" t="n"/>
      <c r="B28" s="113" t="n"/>
      <c r="C28" s="50" t="n"/>
      <c r="D28" s="111" t="n"/>
      <c r="E28" s="112" t="n"/>
      <c r="G28" s="60" t="inlineStr">
        <is>
          <t>Parametros</t>
        </is>
      </c>
      <c r="H28" s="112" t="n"/>
      <c r="J28" s="60" t="inlineStr">
        <is>
          <t>Indicadores Fianancieros</t>
        </is>
      </c>
      <c r="K28" s="111" t="n"/>
      <c r="L28" s="112" t="n"/>
    </row>
    <row r="29">
      <c r="A29" s="32" t="n"/>
      <c r="B29" s="113" t="n"/>
      <c r="C29" s="50" t="n"/>
      <c r="D29" s="111" t="n"/>
      <c r="E29" s="112" t="n"/>
      <c r="G29" s="60" t="inlineStr">
        <is>
          <t>Inflación</t>
        </is>
      </c>
      <c r="H29" s="40" t="n">
        <v>0.05</v>
      </c>
      <c r="J29" s="59" t="inlineStr">
        <is>
          <t>Tiempo de Recuperación</t>
        </is>
      </c>
      <c r="K29" s="112" t="n"/>
      <c r="L29" s="38">
        <f>IF(COUNTIF(L7:L19,"&lt;0")&gt;12,"Después del mes 12","Mes "&amp;COUNTIF(L7:L19,"&lt;0"))</f>
        <v/>
      </c>
    </row>
    <row r="30">
      <c r="A30" s="32" t="n"/>
      <c r="B30" s="113" t="n"/>
      <c r="C30" s="50" t="n"/>
      <c r="D30" s="111" t="n"/>
      <c r="E30" s="112" t="n"/>
      <c r="G30" s="60" t="inlineStr">
        <is>
          <t>Periodos</t>
        </is>
      </c>
      <c r="H30" s="40" t="inlineStr">
        <is>
          <t>Anuales</t>
        </is>
      </c>
      <c r="J30" s="59" t="inlineStr">
        <is>
          <t>Valor Presente Neto (VPN)</t>
        </is>
      </c>
      <c r="K30" s="112" t="n"/>
      <c r="L30" s="114">
        <f>NPV(IPC,K23:K25)+K22</f>
        <v/>
      </c>
    </row>
    <row r="31">
      <c r="G31" s="60" t="inlineStr">
        <is>
          <t>Tiempo</t>
        </is>
      </c>
      <c r="H31" s="40" t="inlineStr">
        <is>
          <t>3 años</t>
        </is>
      </c>
      <c r="J31" s="59" t="inlineStr">
        <is>
          <t xml:space="preserve">Tasa Interna de Retorno </t>
        </is>
      </c>
      <c r="K31" s="112" t="n"/>
      <c r="L31" s="39">
        <f>IRR(K22:K25)</f>
        <v/>
      </c>
    </row>
    <row r="32">
      <c r="J32" s="59" t="inlineStr">
        <is>
          <t>Recursos de Apalancamiento</t>
        </is>
      </c>
      <c r="K32" s="112" t="n"/>
      <c r="L32" s="114">
        <f>-MIN(L7:L19)</f>
        <v/>
      </c>
    </row>
    <row r="33">
      <c r="J33" s="59" t="inlineStr">
        <is>
          <t xml:space="preserve">Retorno de Inversión </t>
        </is>
      </c>
      <c r="K33" s="112" t="n"/>
      <c r="L33" s="40">
        <f>((I26+H26)-L32)/L32</f>
        <v/>
      </c>
    </row>
    <row r="34">
      <c r="J34" s="59" t="inlineStr">
        <is>
          <t xml:space="preserve">Retorno de Inversión </t>
        </is>
      </c>
      <c r="K34" s="112" t="n"/>
      <c r="L34" s="116">
        <f>SUM(I26+H26)-L32</f>
        <v/>
      </c>
    </row>
  </sheetData>
  <mergeCells count="28">
    <mergeCell ref="C16:E16"/>
    <mergeCell ref="J29:K29"/>
    <mergeCell ref="A15:E15"/>
    <mergeCell ref="C22:E22"/>
    <mergeCell ref="C21:E21"/>
    <mergeCell ref="J30:K30"/>
    <mergeCell ref="J34:K34"/>
    <mergeCell ref="C27:E27"/>
    <mergeCell ref="G5:L5"/>
    <mergeCell ref="C23:E23"/>
    <mergeCell ref="C17:E17"/>
    <mergeCell ref="G28:H28"/>
    <mergeCell ref="C28:E28"/>
    <mergeCell ref="J32:K32"/>
    <mergeCell ref="C18:E18"/>
    <mergeCell ref="A5:E5"/>
    <mergeCell ref="J31:K31"/>
    <mergeCell ref="D1:L3"/>
    <mergeCell ref="C30:E30"/>
    <mergeCell ref="C24:E24"/>
    <mergeCell ref="A20:E20"/>
    <mergeCell ref="J28:L28"/>
    <mergeCell ref="A1:C3"/>
    <mergeCell ref="J33:K33"/>
    <mergeCell ref="C26:E26"/>
    <mergeCell ref="A13:B13"/>
    <mergeCell ref="C29:E29"/>
    <mergeCell ref="C25:E25"/>
  </mergeCells>
  <conditionalFormatting sqref="L7:L19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Uribe</dc:creator>
  <dcterms:created xsi:type="dcterms:W3CDTF">2021-08-25T18:25:39Z</dcterms:created>
  <dcterms:modified xsi:type="dcterms:W3CDTF">2026-10-26T21:20:28Z</dcterms:modified>
  <cp:lastModifiedBy>Juan Esteban Jiménez Cardona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0x010100501C21C20B8CCC43B964E789365A2615</vt:lpwstr>
  </property>
  <property name="MediaServiceImageTags" fmtid="{D5CDD505-2E9C-101B-9397-08002B2CF9AE}" pid="3">
    <vt:lpwstr/>
  </property>
</Properties>
</file>